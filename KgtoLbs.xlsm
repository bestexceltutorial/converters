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ukas\Documents\bet general\"/>
    </mc:Choice>
  </mc:AlternateContent>
  <bookViews>
    <workbookView xWindow="0" yWindow="0" windowWidth="23040" windowHeight="9096" tabRatio="735"/>
  </bookViews>
  <sheets>
    <sheet name="LbsToKg" sheetId="1" r:id="rId1"/>
    <sheet name="KgToLbs" sheetId="2" r:id="rId2"/>
    <sheet name="KgToLbsRound" sheetId="3" r:id="rId3"/>
    <sheet name="LbsToKgCONVERT" sheetId="4" r:id="rId4"/>
    <sheet name="KgToLbsCONVERT" sheetId="5" r:id="rId5"/>
    <sheet name="KgToLbsAndOz" sheetId="6" r:id="rId6"/>
    <sheet name="KgToStLbsAndOz" sheetId="8" r:id="rId7"/>
    <sheet name="VBAMacros" sheetId="7" r:id="rId8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8" l="1"/>
  <c r="B11" i="8"/>
  <c r="B10" i="8"/>
  <c r="B9" i="8"/>
  <c r="B8" i="8"/>
  <c r="B7" i="8"/>
  <c r="B6" i="8"/>
  <c r="B5" i="8"/>
  <c r="B4" i="8"/>
  <c r="B3" i="8"/>
  <c r="B2" i="8"/>
  <c r="B12" i="6"/>
  <c r="B11" i="6"/>
  <c r="B10" i="6"/>
  <c r="B9" i="6"/>
  <c r="B8" i="6"/>
  <c r="B7" i="6"/>
  <c r="B6" i="6"/>
  <c r="B5" i="6"/>
  <c r="B4" i="6"/>
  <c r="B3" i="6"/>
  <c r="B2" i="6"/>
  <c r="B12" i="5"/>
  <c r="B11" i="5"/>
  <c r="B10" i="5"/>
  <c r="B9" i="5"/>
  <c r="B8" i="5"/>
  <c r="B7" i="5"/>
  <c r="B6" i="5"/>
  <c r="B5" i="5"/>
  <c r="B4" i="5"/>
  <c r="B3" i="5"/>
  <c r="B2" i="5"/>
  <c r="B12" i="2"/>
  <c r="B11" i="2"/>
  <c r="B10" i="2"/>
  <c r="B9" i="2"/>
  <c r="B8" i="2"/>
  <c r="B7" i="2"/>
  <c r="B6" i="2"/>
  <c r="B5" i="2"/>
  <c r="B4" i="2"/>
  <c r="B3" i="2"/>
  <c r="B2" i="2"/>
  <c r="B12" i="1"/>
  <c r="B11" i="1"/>
  <c r="B10" i="1"/>
  <c r="B9" i="1"/>
  <c r="B8" i="1"/>
  <c r="B7" i="1"/>
  <c r="B6" i="1"/>
  <c r="B5" i="1"/>
  <c r="B4" i="1"/>
  <c r="B3" i="1"/>
  <c r="B2" i="1"/>
  <c r="B12" i="4"/>
  <c r="B11" i="4"/>
  <c r="B10" i="4"/>
  <c r="B9" i="4"/>
  <c r="B8" i="4"/>
  <c r="B7" i="4"/>
  <c r="B6" i="4"/>
  <c r="B5" i="4"/>
  <c r="B4" i="4"/>
  <c r="B3" i="4"/>
  <c r="B2" i="4"/>
  <c r="B12" i="3"/>
  <c r="B11" i="3"/>
  <c r="B10" i="3"/>
  <c r="B9" i="3"/>
  <c r="B8" i="3"/>
  <c r="B7" i="3"/>
  <c r="B6" i="3"/>
  <c r="B5" i="3"/>
  <c r="B4" i="3"/>
  <c r="B3" i="3"/>
  <c r="B2" i="3"/>
</calcChain>
</file>

<file path=xl/sharedStrings.xml><?xml version="1.0" encoding="utf-8"?>
<sst xmlns="http://schemas.openxmlformats.org/spreadsheetml/2006/main" count="105" uniqueCount="83">
  <si>
    <t>Formula used</t>
  </si>
  <si>
    <t>www.Best-Excel-Tutorial.com</t>
  </si>
  <si>
    <t>Lbs</t>
  </si>
  <si>
    <t>Kg</t>
  </si>
  <si>
    <t>=$A2*2.204622622</t>
  </si>
  <si>
    <t>=$A3*2.204622622</t>
  </si>
  <si>
    <t>=$A4*2.204622622</t>
  </si>
  <si>
    <t>=$A5*2.204622622</t>
  </si>
  <si>
    <t>=$A6*2.204622622</t>
  </si>
  <si>
    <t>=$A7*2.204622622</t>
  </si>
  <si>
    <t>=$A8*2.204622622</t>
  </si>
  <si>
    <t>=$A9*2.204622622</t>
  </si>
  <si>
    <t>=$A10*2.204622622</t>
  </si>
  <si>
    <t>=$A11*2.204622622</t>
  </si>
  <si>
    <t>=$A12*2.204622622</t>
  </si>
  <si>
    <t>=$A2*0.45359237</t>
  </si>
  <si>
    <t>=$A3*0.45359237</t>
  </si>
  <si>
    <t>=$A4*0.45359237</t>
  </si>
  <si>
    <t>=$A5*0.45359237</t>
  </si>
  <si>
    <t>=$A6*0.45359237</t>
  </si>
  <si>
    <t>=$A7*0.45359237</t>
  </si>
  <si>
    <t>=$A8*0.45359237</t>
  </si>
  <si>
    <t>=$A9*0.45359237</t>
  </si>
  <si>
    <t>=$A10*0.45359237</t>
  </si>
  <si>
    <t>=$A11*0.45359237</t>
  </si>
  <si>
    <t>=$A12*0.45359237</t>
  </si>
  <si>
    <t>=ROUND($A2*0.45359237,2)</t>
  </si>
  <si>
    <t>=ROUND($A3*0.45359237,2)</t>
  </si>
  <si>
    <t>=ROUND($A4*0.45359237,2)</t>
  </si>
  <si>
    <t>=ROUND($A5*0.45359237,2)</t>
  </si>
  <si>
    <t>=ROUND($A6*0.45359237,2)</t>
  </si>
  <si>
    <t>=ROUND($A7*0.45359237,2)</t>
  </si>
  <si>
    <t>=ROUND($A8*0.45359237,2)</t>
  </si>
  <si>
    <t>=ROUND($A10*0.45359237,2)</t>
  </si>
  <si>
    <t>=ROUND($A12*0.45359237,2)</t>
  </si>
  <si>
    <t>=ROUND($A9*0.45359237,2)</t>
  </si>
  <si>
    <t>=ROUND($A11*0.45359237,2)</t>
  </si>
  <si>
    <t>=CONVERT($A2,"lbm","kg")</t>
  </si>
  <si>
    <t>=CONVERT($A3,"lbm","kg")</t>
  </si>
  <si>
    <t>=CONVERT($A4,"lbm","kg")</t>
  </si>
  <si>
    <t>=CONVERT($A5,"lbm","kg")</t>
  </si>
  <si>
    <t>=CONVERT($A6,"lbm","kg")</t>
  </si>
  <si>
    <t>=CONVERT($A7,"lbm","kg")</t>
  </si>
  <si>
    <t>=CONVERT($A8,"lbm","kg")</t>
  </si>
  <si>
    <t>=CONVERT($A9,"lbm","kg")</t>
  </si>
  <si>
    <t>=CONVERT($A10,"lbm","kg")</t>
  </si>
  <si>
    <t>=CONVERT($A11,"lbm","kg")</t>
  </si>
  <si>
    <t>=CONVERT($A12,"lbm","kg")</t>
  </si>
  <si>
    <t>=CONVERT($A2,"kg","lbm")</t>
  </si>
  <si>
    <t>=CONVERT($A3,"kg","lbm")</t>
  </si>
  <si>
    <t>=CONVERT($A4,"kg","lbm")</t>
  </si>
  <si>
    <t>=CONVERT($A5,"kg","lbm")</t>
  </si>
  <si>
    <t>=CONVERT($A6,"kg","lbm")</t>
  </si>
  <si>
    <t>=CONVERT($A7,"kg","lbm")</t>
  </si>
  <si>
    <t>=CONVERT($A8,"kg","lbm")</t>
  </si>
  <si>
    <t>=CONVERT($A9,"kg","lbm")</t>
  </si>
  <si>
    <t>=CONVERT($A10,"kg","lbm")</t>
  </si>
  <si>
    <t>=CONVERT($A11,"kg","lbm")</t>
  </si>
  <si>
    <t>=CONVERT($A12,"kg","lbm")</t>
  </si>
  <si>
    <t>Lbs and Oz</t>
  </si>
  <si>
    <t>=INT(A2*2.204622622)&amp;" lbs "&amp;INT(MOD(A2*2.204622622,1)*16)&amp;" oz"</t>
  </si>
  <si>
    <t>=INT(A3*2.204622622)&amp;" lbs "&amp;INT(MOD(A3*2.204622622,1)*16)&amp;" oz"</t>
  </si>
  <si>
    <t>=INT(A4*2.204622622)&amp;" lbs "&amp;INT(MOD(A4*2.204622622,1)*16)&amp;" oz"</t>
  </si>
  <si>
    <t>=INT(A5*2.204622622)&amp;" lbs "&amp;INT(MOD(A5*2.204622622,1)*16)&amp;" oz"</t>
  </si>
  <si>
    <t>=INT(A6*2.204622622)&amp;" lbs "&amp;INT(MOD(A6*2.204622622,1)*16)&amp;" oz"</t>
  </si>
  <si>
    <t>=INT(A7*2.204622622)&amp;" lbs "&amp;INT(MOD(A7*2.204622622,1)*16)&amp;" oz"</t>
  </si>
  <si>
    <t>=INT(A8*2.204622622)&amp;" lbs "&amp;INT(MOD(A8*2.204622622,1)*16)&amp;" oz"</t>
  </si>
  <si>
    <t>=INT(A9*2.204622622)&amp;" lbs "&amp;INT(MOD(A9*2.204622622,1)*16)&amp;" oz"</t>
  </si>
  <si>
    <t>=INT(A10*2.204622622)&amp;" lbs "&amp;INT(MOD(A10*2.204622622,1)*16)&amp;" oz"</t>
  </si>
  <si>
    <t>=INT(A11*2.204622622)&amp;" lbs "&amp;INT(MOD(A11*2.204622622,1)*16)&amp;" oz"</t>
  </si>
  <si>
    <t>=INT(A12*2.204622622)&amp;" lbs "&amp;INT(MOD(A12*2.204622622,1)*16)&amp;" oz"</t>
  </si>
  <si>
    <t>St, Lbs and Oz</t>
  </si>
  <si>
    <t>=INT(A2*0.157473044418)&amp;" st "&amp;INT(MOD(A2*0.157473044418,1)*14)&amp;" lbs "&amp;INT(MOD(MOD(A2*0.157473044418,1)*14,1)*16)&amp;" oz"</t>
  </si>
  <si>
    <t>=INT(A3*0.157473044418)&amp;" st "&amp;INT(MOD(A3*0.157473044418,1)*14)&amp;" lbs "&amp;INT(MOD(MOD(A3*0.157473044418,1)*14,1)*16)&amp;" oz"</t>
  </si>
  <si>
    <t>=INT(A4*0.157473044418)&amp;" st "&amp;INT(MOD(A4*0.157473044418,1)*14)&amp;" lbs "&amp;INT(MOD(MOD(A4*0.157473044418,1)*14,1)*16)&amp;" oz"</t>
  </si>
  <si>
    <t>=INT(A5*0.157473044418)&amp;" st "&amp;INT(MOD(A5*0.157473044418,1)*14)&amp;" lbs "&amp;INT(MOD(MOD(A5*0.157473044418,1)*14,1)*16)&amp;" oz"</t>
  </si>
  <si>
    <t>=INT(A6*0.157473044418)&amp;" st "&amp;INT(MOD(A6*0.157473044418,1)*14)&amp;" lbs "&amp;INT(MOD(MOD(A6*0.157473044418,1)*14,1)*16)&amp;" oz"</t>
  </si>
  <si>
    <t>=INT(A7*0.157473044418)&amp;" st "&amp;INT(MOD(A7*0.157473044418,1)*14)&amp;" lbs "&amp;INT(MOD(MOD(A7*0.157473044418,1)*14,1)*16)&amp;" oz"</t>
  </si>
  <si>
    <t>=INT(A8*0.157473044418)&amp;" st "&amp;INT(MOD(A8*0.157473044418,1)*14)&amp;" lbs "&amp;INT(MOD(MOD(A8*0.157473044418,1)*14,1)*16)&amp;" oz"</t>
  </si>
  <si>
    <t>=INT(A9*0.157473044418)&amp;" st "&amp;INT(MOD(A9*0.157473044418,1)*14)&amp;" lbs "&amp;INT(MOD(MOD(A9*0.157473044418,1)*14,1)*16)&amp;" oz"</t>
  </si>
  <si>
    <t>=INT(A10*0.157473044418)&amp;" st "&amp;INT(MOD(A10*0.157473044418,1)*14)&amp;" lbs "&amp;INT(MOD(MOD(A10*0.157473044418,1)*14,1)*16)&amp;" oz"</t>
  </si>
  <si>
    <t>=INT(A11*0.157473044418)&amp;" st "&amp;INT(MOD(A11*0.157473044418,1)*14)&amp;" lbs "&amp;INT(MOD(MOD(A11*0.157473044418,1)*14,1)*16)&amp;" oz"</t>
  </si>
  <si>
    <t>=INT(A12*0.157473044418)&amp;" st "&amp;INT(MOD(A12*0.157473044418,1)*14)&amp;" lbs "&amp;INT(MOD(MOD(A12*0.157473044418,1)*14,1)*16)&amp;" oz"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</si>
</sst>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1" xfId="0" applyBorder="1"/>
    <xf numFmtId="0" fontId="0" fillId="0" borderId="5" xfId="0" applyBorder="1"/>
    <xf numFmtId="49" fontId="0" fillId="0" borderId="6" xfId="0" applyNumberFormat="1" applyBorder="1"/>
    <xf numFmtId="0" fontId="0" fillId="0" borderId="7" xfId="0" applyBorder="1"/>
    <xf numFmtId="0" fontId="0" fillId="0" borderId="8" xfId="0" applyBorder="1"/>
    <xf numFmtId="49" fontId="0" fillId="0" borderId="9" xfId="0" applyNumberFormat="1" applyBorder="1"/>
    <xf numFmtId="0" fontId="0" fillId="0" borderId="10" xfId="0" applyBorder="1"/>
    <xf numFmtId="0" fontId="0" fillId="0" borderId="11" xfId="0" applyBorder="1"/>
    <xf numFmtId="49" fontId="0" fillId="0" borderId="12" xfId="0" applyNumberForma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11" xfId="0" applyBorder="1" applyAlignment="1">
      <alignment horizontal="right"/>
    </xf>
    <xf numFmtId="0" fontId="1" fillId="0" borderId="0" xfId="1" applyFill="1" applyBorder="1" applyAlignment="1"/>
    <xf numFmtId="0" fontId="1" fillId="2" borderId="2" xfId="1" applyFill="1" applyBorder="1" applyAlignment="1">
      <alignment horizontal="center"/>
    </xf>
    <xf numFmtId="0" fontId="1" fillId="2" borderId="3" xfId="1" applyFill="1" applyBorder="1" applyAlignment="1">
      <alignment horizontal="center"/>
    </xf>
    <xf numFmtId="0" fontId="1" fillId="2" borderId="4" xfId="1" applyFill="1" applyBorder="1" applyAlignment="1">
      <alignment horizontal="center"/>
    </xf>
    <xf numFmtId="0" fontId="1" fillId="2" borderId="13" xfId="1" applyFill="1" applyBorder="1" applyAlignment="1">
      <alignment horizontal="center"/>
    </xf>
    <xf numFmtId="0" fontId="1" fillId="2" borderId="14" xfId="1" applyFill="1" applyBorder="1" applyAlignment="1">
      <alignment horizontal="center"/>
    </xf>
    <xf numFmtId="0" fontId="1" fillId="2" borderId="15" xfId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175260</xdr:colOff>
          <xdr:row>0</xdr:row>
          <xdr:rowOff>137160</xdr:rowOff>
        </xdr:from>
        <xdr:to>
          <xdr:col>4</xdr:col>
          <xdr:colOff>289560</xdr:colOff>
          <xdr:row>6</xdr:row>
          <xdr:rowOff>45720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Kg To Lbs Converter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7</xdr:row>
          <xdr:rowOff>99060</xdr:rowOff>
        </xdr:from>
        <xdr:to>
          <xdr:col>4</xdr:col>
          <xdr:colOff>327660</xdr:colOff>
          <xdr:row>13</xdr:row>
          <xdr:rowOff>83820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Lbs To Kg Converter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est-excel-tutorial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est-excel-tutorial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est-excel-tutorial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est-excel-tutorial.com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est-excel-tutorial.com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est-excel-tutorial.com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est-excel-tutorial.com/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tabSelected="1" workbookViewId="0">
      <selection activeCell="K21" sqref="K21"/>
    </sheetView>
  </sheetViews>
  <sheetFormatPr defaultRowHeight="14.4" x14ac:dyDescent="0.3"/>
  <cols>
    <col min="1" max="1" width="4" bestFit="1" customWidth="1"/>
    <col min="2" max="2" width="12" bestFit="1" customWidth="1"/>
    <col min="3" max="3" width="16.77734375" bestFit="1" customWidth="1"/>
  </cols>
  <sheetData>
    <row r="1" spans="1:5" ht="15" thickBot="1" x14ac:dyDescent="0.35">
      <c r="A1" s="10" t="s">
        <v>2</v>
      </c>
      <c r="B1" s="11" t="s">
        <v>3</v>
      </c>
      <c r="C1" s="12" t="s">
        <v>0</v>
      </c>
    </row>
    <row r="2" spans="1:5" x14ac:dyDescent="0.3">
      <c r="A2" s="7">
        <v>10</v>
      </c>
      <c r="B2" s="8">
        <f>$A2*0.45359237</f>
        <v>4.5359237000000006</v>
      </c>
      <c r="C2" s="9" t="s">
        <v>15</v>
      </c>
    </row>
    <row r="3" spans="1:5" x14ac:dyDescent="0.3">
      <c r="A3" s="2">
        <v>50</v>
      </c>
      <c r="B3" s="1">
        <f>$A3*0.45359237</f>
        <v>22.6796185</v>
      </c>
      <c r="C3" s="3" t="s">
        <v>16</v>
      </c>
    </row>
    <row r="4" spans="1:5" x14ac:dyDescent="0.3">
      <c r="A4" s="2">
        <v>100</v>
      </c>
      <c r="B4" s="1">
        <f>$A4*0.45359237</f>
        <v>45.359237</v>
      </c>
      <c r="C4" s="3" t="s">
        <v>17</v>
      </c>
    </row>
    <row r="5" spans="1:5" x14ac:dyDescent="0.3">
      <c r="A5" s="2">
        <v>150</v>
      </c>
      <c r="B5" s="1">
        <f>$A5*0.45359237</f>
        <v>68.038855499999997</v>
      </c>
      <c r="C5" s="3" t="s">
        <v>18</v>
      </c>
    </row>
    <row r="6" spans="1:5" x14ac:dyDescent="0.3">
      <c r="A6" s="2">
        <v>200</v>
      </c>
      <c r="B6" s="1">
        <f>$A6*0.45359237</f>
        <v>90.718474000000001</v>
      </c>
      <c r="C6" s="3" t="s">
        <v>19</v>
      </c>
    </row>
    <row r="7" spans="1:5" x14ac:dyDescent="0.3">
      <c r="A7" s="2">
        <v>250</v>
      </c>
      <c r="B7" s="1">
        <f>$A7*0.45359237</f>
        <v>113.3980925</v>
      </c>
      <c r="C7" s="3" t="s">
        <v>20</v>
      </c>
    </row>
    <row r="8" spans="1:5" x14ac:dyDescent="0.3">
      <c r="A8" s="2">
        <v>300</v>
      </c>
      <c r="B8" s="1">
        <f>$A8*0.45359237</f>
        <v>136.07771099999999</v>
      </c>
      <c r="C8" s="3" t="s">
        <v>21</v>
      </c>
    </row>
    <row r="9" spans="1:5" x14ac:dyDescent="0.3">
      <c r="A9" s="2">
        <v>350</v>
      </c>
      <c r="B9" s="1">
        <f>$A9*0.45359237</f>
        <v>158.7573295</v>
      </c>
      <c r="C9" s="3" t="s">
        <v>22</v>
      </c>
    </row>
    <row r="10" spans="1:5" x14ac:dyDescent="0.3">
      <c r="A10" s="2">
        <v>400</v>
      </c>
      <c r="B10" s="1">
        <f>$A10*0.45359237</f>
        <v>181.436948</v>
      </c>
      <c r="C10" s="3" t="s">
        <v>23</v>
      </c>
    </row>
    <row r="11" spans="1:5" x14ac:dyDescent="0.3">
      <c r="A11" s="2">
        <v>450</v>
      </c>
      <c r="B11" s="1">
        <f>$A11*0.45359237</f>
        <v>204.1165665</v>
      </c>
      <c r="C11" s="3" t="s">
        <v>24</v>
      </c>
    </row>
    <row r="12" spans="1:5" ht="15" thickBot="1" x14ac:dyDescent="0.35">
      <c r="A12" s="4">
        <v>500</v>
      </c>
      <c r="B12" s="5">
        <f>$A12*0.45359237</f>
        <v>226.79618500000001</v>
      </c>
      <c r="C12" s="6" t="s">
        <v>25</v>
      </c>
    </row>
    <row r="13" spans="1:5" ht="15" thickBot="1" x14ac:dyDescent="0.35"/>
    <row r="14" spans="1:5" ht="15" thickBot="1" x14ac:dyDescent="0.35">
      <c r="A14" s="17" t="s">
        <v>1</v>
      </c>
      <c r="B14" s="18"/>
      <c r="C14" s="18"/>
      <c r="D14" s="18"/>
      <c r="E14" s="19"/>
    </row>
  </sheetData>
  <mergeCells count="1">
    <mergeCell ref="A14:E14"/>
  </mergeCells>
  <hyperlinks>
    <hyperlink ref="A14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4"/>
  <sheetViews>
    <sheetView workbookViewId="0">
      <selection activeCell="L22" sqref="L22"/>
    </sheetView>
  </sheetViews>
  <sheetFormatPr defaultRowHeight="14.4" x14ac:dyDescent="0.3"/>
  <cols>
    <col min="1" max="1" width="4" bestFit="1" customWidth="1"/>
    <col min="2" max="2" width="12" bestFit="1" customWidth="1"/>
    <col min="3" max="3" width="17.88671875" bestFit="1" customWidth="1"/>
  </cols>
  <sheetData>
    <row r="1" spans="1:5" ht="15" thickBot="1" x14ac:dyDescent="0.35">
      <c r="A1" s="10" t="s">
        <v>3</v>
      </c>
      <c r="B1" s="11" t="s">
        <v>2</v>
      </c>
      <c r="C1" s="12" t="s">
        <v>0</v>
      </c>
    </row>
    <row r="2" spans="1:5" x14ac:dyDescent="0.3">
      <c r="A2" s="7">
        <v>10</v>
      </c>
      <c r="B2" s="8">
        <f>$A2*2.204622622</f>
        <v>22.046226220000001</v>
      </c>
      <c r="C2" s="9" t="s">
        <v>4</v>
      </c>
    </row>
    <row r="3" spans="1:5" x14ac:dyDescent="0.3">
      <c r="A3" s="2">
        <v>50</v>
      </c>
      <c r="B3" s="1">
        <f>$A3*2.204622622</f>
        <v>110.2311311</v>
      </c>
      <c r="C3" s="3" t="s">
        <v>5</v>
      </c>
    </row>
    <row r="4" spans="1:5" x14ac:dyDescent="0.3">
      <c r="A4" s="2">
        <v>100</v>
      </c>
      <c r="B4" s="1">
        <f>$A4*2.204622622</f>
        <v>220.4622622</v>
      </c>
      <c r="C4" s="3" t="s">
        <v>6</v>
      </c>
    </row>
    <row r="5" spans="1:5" x14ac:dyDescent="0.3">
      <c r="A5" s="2">
        <v>150</v>
      </c>
      <c r="B5" s="1">
        <f>$A5*2.204622622</f>
        <v>330.69339330000003</v>
      </c>
      <c r="C5" s="3" t="s">
        <v>7</v>
      </c>
    </row>
    <row r="6" spans="1:5" x14ac:dyDescent="0.3">
      <c r="A6" s="2">
        <v>200</v>
      </c>
      <c r="B6" s="1">
        <f>$A6*2.204622622</f>
        <v>440.9245244</v>
      </c>
      <c r="C6" s="3" t="s">
        <v>8</v>
      </c>
    </row>
    <row r="7" spans="1:5" x14ac:dyDescent="0.3">
      <c r="A7" s="2">
        <v>250</v>
      </c>
      <c r="B7" s="1">
        <f>$A7*2.204622622</f>
        <v>551.15565549999997</v>
      </c>
      <c r="C7" s="3" t="s">
        <v>9</v>
      </c>
    </row>
    <row r="8" spans="1:5" x14ac:dyDescent="0.3">
      <c r="A8" s="2">
        <v>300</v>
      </c>
      <c r="B8" s="1">
        <f>$A8*2.204622622</f>
        <v>661.38678660000005</v>
      </c>
      <c r="C8" s="3" t="s">
        <v>10</v>
      </c>
    </row>
    <row r="9" spans="1:5" x14ac:dyDescent="0.3">
      <c r="A9" s="2">
        <v>350</v>
      </c>
      <c r="B9" s="1">
        <f>$A9*2.204622622</f>
        <v>771.61791770000002</v>
      </c>
      <c r="C9" s="3" t="s">
        <v>11</v>
      </c>
    </row>
    <row r="10" spans="1:5" x14ac:dyDescent="0.3">
      <c r="A10" s="2">
        <v>400</v>
      </c>
      <c r="B10" s="1">
        <f>$A10*2.204622622</f>
        <v>881.84904879999999</v>
      </c>
      <c r="C10" s="3" t="s">
        <v>12</v>
      </c>
    </row>
    <row r="11" spans="1:5" x14ac:dyDescent="0.3">
      <c r="A11" s="2">
        <v>450</v>
      </c>
      <c r="B11" s="1">
        <f>$A11*2.204622622</f>
        <v>992.08017989999996</v>
      </c>
      <c r="C11" s="3" t="s">
        <v>13</v>
      </c>
    </row>
    <row r="12" spans="1:5" ht="15" thickBot="1" x14ac:dyDescent="0.35">
      <c r="A12" s="4">
        <v>500</v>
      </c>
      <c r="B12" s="5">
        <f>$A12*2.204622622</f>
        <v>1102.3113109999999</v>
      </c>
      <c r="C12" s="6" t="s">
        <v>14</v>
      </c>
    </row>
    <row r="13" spans="1:5" ht="15" thickBot="1" x14ac:dyDescent="0.35"/>
    <row r="14" spans="1:5" ht="15" thickBot="1" x14ac:dyDescent="0.35">
      <c r="A14" s="17" t="s">
        <v>1</v>
      </c>
      <c r="B14" s="18"/>
      <c r="C14" s="18"/>
      <c r="D14" s="18"/>
      <c r="E14" s="19"/>
    </row>
  </sheetData>
  <mergeCells count="1">
    <mergeCell ref="A14:E14"/>
  </mergeCells>
  <hyperlinks>
    <hyperlink ref="A14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4"/>
  <sheetViews>
    <sheetView workbookViewId="0">
      <selection activeCell="K23" sqref="K23"/>
    </sheetView>
  </sheetViews>
  <sheetFormatPr defaultRowHeight="14.4" x14ac:dyDescent="0.3"/>
  <cols>
    <col min="1" max="1" width="4" bestFit="1" customWidth="1"/>
    <col min="2" max="2" width="7" bestFit="1" customWidth="1"/>
    <col min="3" max="3" width="26" bestFit="1" customWidth="1"/>
  </cols>
  <sheetData>
    <row r="1" spans="1:5" ht="15" thickBot="1" x14ac:dyDescent="0.35">
      <c r="A1" s="10" t="s">
        <v>3</v>
      </c>
      <c r="B1" s="11" t="s">
        <v>2</v>
      </c>
      <c r="C1" s="12" t="s">
        <v>0</v>
      </c>
    </row>
    <row r="2" spans="1:5" x14ac:dyDescent="0.3">
      <c r="A2" s="7">
        <v>10</v>
      </c>
      <c r="B2" s="8">
        <f>ROUND($A2*0.45359237,2)</f>
        <v>4.54</v>
      </c>
      <c r="C2" s="9" t="s">
        <v>26</v>
      </c>
    </row>
    <row r="3" spans="1:5" x14ac:dyDescent="0.3">
      <c r="A3" s="2">
        <v>50</v>
      </c>
      <c r="B3" s="1">
        <f>ROUND($A3*0.45359237,2)</f>
        <v>22.68</v>
      </c>
      <c r="C3" s="3" t="s">
        <v>27</v>
      </c>
    </row>
    <row r="4" spans="1:5" x14ac:dyDescent="0.3">
      <c r="A4" s="2">
        <v>100</v>
      </c>
      <c r="B4" s="1">
        <f>ROUND($A4*0.45359237,2)</f>
        <v>45.36</v>
      </c>
      <c r="C4" s="3" t="s">
        <v>28</v>
      </c>
    </row>
    <row r="5" spans="1:5" x14ac:dyDescent="0.3">
      <c r="A5" s="2">
        <v>150</v>
      </c>
      <c r="B5" s="1">
        <f>ROUND($A5*0.45359237,2)</f>
        <v>68.040000000000006</v>
      </c>
      <c r="C5" s="3" t="s">
        <v>29</v>
      </c>
    </row>
    <row r="6" spans="1:5" x14ac:dyDescent="0.3">
      <c r="A6" s="2">
        <v>200</v>
      </c>
      <c r="B6" s="1">
        <f>ROUND($A6*0.45359237,2)</f>
        <v>90.72</v>
      </c>
      <c r="C6" s="3" t="s">
        <v>30</v>
      </c>
    </row>
    <row r="7" spans="1:5" x14ac:dyDescent="0.3">
      <c r="A7" s="2">
        <v>250</v>
      </c>
      <c r="B7" s="1">
        <f>ROUND($A7*0.45359237,2)</f>
        <v>113.4</v>
      </c>
      <c r="C7" s="3" t="s">
        <v>31</v>
      </c>
    </row>
    <row r="8" spans="1:5" x14ac:dyDescent="0.3">
      <c r="A8" s="2">
        <v>300</v>
      </c>
      <c r="B8" s="1">
        <f>ROUND($A8*0.45359237,2)</f>
        <v>136.08000000000001</v>
      </c>
      <c r="C8" s="3" t="s">
        <v>32</v>
      </c>
    </row>
    <row r="9" spans="1:5" x14ac:dyDescent="0.3">
      <c r="A9" s="2">
        <v>350</v>
      </c>
      <c r="B9" s="1">
        <f>ROUND($A9*0.45359237,2)</f>
        <v>158.76</v>
      </c>
      <c r="C9" s="3" t="s">
        <v>35</v>
      </c>
    </row>
    <row r="10" spans="1:5" x14ac:dyDescent="0.3">
      <c r="A10" s="2">
        <v>400</v>
      </c>
      <c r="B10" s="1">
        <f>ROUND($A10*0.45359237,2)</f>
        <v>181.44</v>
      </c>
      <c r="C10" s="3" t="s">
        <v>33</v>
      </c>
    </row>
    <row r="11" spans="1:5" x14ac:dyDescent="0.3">
      <c r="A11" s="2">
        <v>450</v>
      </c>
      <c r="B11" s="1">
        <f>ROUND($A11*0.45359237,2)</f>
        <v>204.12</v>
      </c>
      <c r="C11" s="3" t="s">
        <v>36</v>
      </c>
    </row>
    <row r="12" spans="1:5" ht="15" thickBot="1" x14ac:dyDescent="0.35">
      <c r="A12" s="4">
        <v>500</v>
      </c>
      <c r="B12" s="5">
        <f>ROUND($A12*0.45359237,2)</f>
        <v>226.8</v>
      </c>
      <c r="C12" s="6" t="s">
        <v>34</v>
      </c>
    </row>
    <row r="13" spans="1:5" ht="15" thickBot="1" x14ac:dyDescent="0.35"/>
    <row r="14" spans="1:5" ht="15" thickBot="1" x14ac:dyDescent="0.35">
      <c r="A14" s="17" t="s">
        <v>1</v>
      </c>
      <c r="B14" s="18"/>
      <c r="C14" s="18"/>
      <c r="D14" s="18"/>
      <c r="E14" s="19"/>
    </row>
  </sheetData>
  <mergeCells count="1">
    <mergeCell ref="A14:E14"/>
  </mergeCells>
  <hyperlinks>
    <hyperlink ref="A14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K24" sqref="K24"/>
    </sheetView>
  </sheetViews>
  <sheetFormatPr defaultRowHeight="14.4" x14ac:dyDescent="0.3"/>
  <cols>
    <col min="1" max="1" width="4" bestFit="1" customWidth="1"/>
    <col min="2" max="2" width="12" bestFit="1" customWidth="1"/>
    <col min="3" max="3" width="24.33203125" bestFit="1" customWidth="1"/>
  </cols>
  <sheetData>
    <row r="1" spans="1:5" ht="15" thickBot="1" x14ac:dyDescent="0.35">
      <c r="A1" s="10" t="s">
        <v>2</v>
      </c>
      <c r="B1" s="11" t="s">
        <v>3</v>
      </c>
      <c r="C1" s="12" t="s">
        <v>0</v>
      </c>
    </row>
    <row r="2" spans="1:5" x14ac:dyDescent="0.3">
      <c r="A2" s="7">
        <v>10</v>
      </c>
      <c r="B2" s="8">
        <f>CONVERT($A2,"lbm","kg")</f>
        <v>4.5359237000000006</v>
      </c>
      <c r="C2" s="9" t="s">
        <v>37</v>
      </c>
    </row>
    <row r="3" spans="1:5" x14ac:dyDescent="0.3">
      <c r="A3" s="2">
        <v>50</v>
      </c>
      <c r="B3" s="1">
        <f>CONVERT(A3,"lbm","kg")</f>
        <v>22.6796185</v>
      </c>
      <c r="C3" s="3" t="s">
        <v>38</v>
      </c>
    </row>
    <row r="4" spans="1:5" x14ac:dyDescent="0.3">
      <c r="A4" s="2">
        <v>100</v>
      </c>
      <c r="B4" s="1">
        <f>CONVERT(A4,"lbm","kg")</f>
        <v>45.359237</v>
      </c>
      <c r="C4" s="3" t="s">
        <v>39</v>
      </c>
    </row>
    <row r="5" spans="1:5" x14ac:dyDescent="0.3">
      <c r="A5" s="2">
        <v>150</v>
      </c>
      <c r="B5" s="1">
        <f>CONVERT(A5,"lbm","kg")</f>
        <v>68.038855500000011</v>
      </c>
      <c r="C5" s="3" t="s">
        <v>40</v>
      </c>
    </row>
    <row r="6" spans="1:5" x14ac:dyDescent="0.3">
      <c r="A6" s="2">
        <v>200</v>
      </c>
      <c r="B6" s="1">
        <f>CONVERT(A6,"lbm","kg")</f>
        <v>90.718474000000001</v>
      </c>
      <c r="C6" s="3" t="s">
        <v>41</v>
      </c>
    </row>
    <row r="7" spans="1:5" x14ac:dyDescent="0.3">
      <c r="A7" s="2">
        <v>250</v>
      </c>
      <c r="B7" s="1">
        <f>CONVERT(A7,"lbm","kg")</f>
        <v>113.3980925</v>
      </c>
      <c r="C7" s="3" t="s">
        <v>42</v>
      </c>
    </row>
    <row r="8" spans="1:5" x14ac:dyDescent="0.3">
      <c r="A8" s="2">
        <v>300</v>
      </c>
      <c r="B8" s="1">
        <f>CONVERT(A8,"lbm","kg")</f>
        <v>136.07771100000002</v>
      </c>
      <c r="C8" s="3" t="s">
        <v>43</v>
      </c>
    </row>
    <row r="9" spans="1:5" x14ac:dyDescent="0.3">
      <c r="A9" s="2">
        <v>350</v>
      </c>
      <c r="B9" s="1">
        <f>CONVERT(A9,"lbm","kg")</f>
        <v>158.7573295</v>
      </c>
      <c r="C9" s="3" t="s">
        <v>44</v>
      </c>
    </row>
    <row r="10" spans="1:5" x14ac:dyDescent="0.3">
      <c r="A10" s="2">
        <v>400</v>
      </c>
      <c r="B10" s="1">
        <f>CONVERT(A10,"lbm","kg")</f>
        <v>181.436948</v>
      </c>
      <c r="C10" s="3" t="s">
        <v>45</v>
      </c>
    </row>
    <row r="11" spans="1:5" x14ac:dyDescent="0.3">
      <c r="A11" s="2">
        <v>450</v>
      </c>
      <c r="B11" s="1">
        <f>CONVERT(A11,"lbm","kg")</f>
        <v>204.11656650000003</v>
      </c>
      <c r="C11" s="3" t="s">
        <v>46</v>
      </c>
    </row>
    <row r="12" spans="1:5" ht="15" thickBot="1" x14ac:dyDescent="0.35">
      <c r="A12" s="4">
        <v>500</v>
      </c>
      <c r="B12" s="5">
        <f>CONVERT(A12,"lbm","kg")</f>
        <v>226.79618500000001</v>
      </c>
      <c r="C12" s="6" t="s">
        <v>47</v>
      </c>
    </row>
    <row r="13" spans="1:5" ht="15" thickBot="1" x14ac:dyDescent="0.35"/>
    <row r="14" spans="1:5" ht="15" thickBot="1" x14ac:dyDescent="0.35">
      <c r="A14" s="17" t="s">
        <v>1</v>
      </c>
      <c r="B14" s="18"/>
      <c r="C14" s="18"/>
      <c r="D14" s="18"/>
      <c r="E14" s="19"/>
    </row>
  </sheetData>
  <mergeCells count="1">
    <mergeCell ref="A14:E14"/>
  </mergeCells>
  <hyperlinks>
    <hyperlink ref="A14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4"/>
  <sheetViews>
    <sheetView workbookViewId="0">
      <selection activeCell="K22" sqref="K22"/>
    </sheetView>
  </sheetViews>
  <sheetFormatPr defaultRowHeight="14.4" x14ac:dyDescent="0.3"/>
  <cols>
    <col min="1" max="1" width="4" bestFit="1" customWidth="1"/>
    <col min="2" max="2" width="12" bestFit="1" customWidth="1"/>
    <col min="3" max="3" width="24.33203125" bestFit="1" customWidth="1"/>
  </cols>
  <sheetData>
    <row r="1" spans="1:5" ht="15" thickBot="1" x14ac:dyDescent="0.35">
      <c r="A1" s="10" t="s">
        <v>3</v>
      </c>
      <c r="B1" s="11" t="s">
        <v>2</v>
      </c>
      <c r="C1" s="12" t="s">
        <v>0</v>
      </c>
    </row>
    <row r="2" spans="1:5" x14ac:dyDescent="0.3">
      <c r="A2" s="7">
        <v>10</v>
      </c>
      <c r="B2" s="8">
        <f>CONVERT($A2,"kg","lbm")</f>
        <v>22.046226218487757</v>
      </c>
      <c r="C2" s="9" t="s">
        <v>48</v>
      </c>
    </row>
    <row r="3" spans="1:5" x14ac:dyDescent="0.3">
      <c r="A3" s="2">
        <v>50</v>
      </c>
      <c r="B3" s="1">
        <f>CONVERT($A3,"kg","lbm")</f>
        <v>110.23113109243879</v>
      </c>
      <c r="C3" s="3" t="s">
        <v>49</v>
      </c>
    </row>
    <row r="4" spans="1:5" x14ac:dyDescent="0.3">
      <c r="A4" s="2">
        <v>100</v>
      </c>
      <c r="B4" s="1">
        <f>CONVERT($A4,"kg","lbm")</f>
        <v>220.46226218487757</v>
      </c>
      <c r="C4" s="3" t="s">
        <v>50</v>
      </c>
    </row>
    <row r="5" spans="1:5" x14ac:dyDescent="0.3">
      <c r="A5" s="2">
        <v>150</v>
      </c>
      <c r="B5" s="1">
        <f>CONVERT($A5,"kg","lbm")</f>
        <v>330.69339327731632</v>
      </c>
      <c r="C5" s="3" t="s">
        <v>51</v>
      </c>
    </row>
    <row r="6" spans="1:5" x14ac:dyDescent="0.3">
      <c r="A6" s="2">
        <v>200</v>
      </c>
      <c r="B6" s="1">
        <f>CONVERT($A6,"kg","lbm")</f>
        <v>440.92452436975515</v>
      </c>
      <c r="C6" s="3" t="s">
        <v>52</v>
      </c>
    </row>
    <row r="7" spans="1:5" x14ac:dyDescent="0.3">
      <c r="A7" s="2">
        <v>250</v>
      </c>
      <c r="B7" s="1">
        <f>CONVERT($A7,"kg","lbm")</f>
        <v>551.15565546219386</v>
      </c>
      <c r="C7" s="3" t="s">
        <v>53</v>
      </c>
    </row>
    <row r="8" spans="1:5" x14ac:dyDescent="0.3">
      <c r="A8" s="2">
        <v>300</v>
      </c>
      <c r="B8" s="1">
        <f>CONVERT($A8,"kg","lbm")</f>
        <v>661.38678655463264</v>
      </c>
      <c r="C8" s="3" t="s">
        <v>54</v>
      </c>
    </row>
    <row r="9" spans="1:5" x14ac:dyDescent="0.3">
      <c r="A9" s="2">
        <v>350</v>
      </c>
      <c r="B9" s="1">
        <f>CONVERT($A9,"kg","lbm")</f>
        <v>771.61791764707152</v>
      </c>
      <c r="C9" s="3" t="s">
        <v>55</v>
      </c>
    </row>
    <row r="10" spans="1:5" x14ac:dyDescent="0.3">
      <c r="A10" s="2">
        <v>400</v>
      </c>
      <c r="B10" s="1">
        <f>CONVERT($A10,"kg","lbm")</f>
        <v>881.84904873951029</v>
      </c>
      <c r="C10" s="3" t="s">
        <v>56</v>
      </c>
    </row>
    <row r="11" spans="1:5" x14ac:dyDescent="0.3">
      <c r="A11" s="2">
        <v>450</v>
      </c>
      <c r="B11" s="1">
        <f>CONVERT($A11,"kg","lbm")</f>
        <v>992.08017983194907</v>
      </c>
      <c r="C11" s="3" t="s">
        <v>57</v>
      </c>
    </row>
    <row r="12" spans="1:5" ht="15" thickBot="1" x14ac:dyDescent="0.35">
      <c r="A12" s="4">
        <v>500</v>
      </c>
      <c r="B12" s="5">
        <f>CONVERT($A12,"kg","lbm")</f>
        <v>1102.3113109243877</v>
      </c>
      <c r="C12" s="6" t="s">
        <v>58</v>
      </c>
    </row>
    <row r="13" spans="1:5" ht="15" thickBot="1" x14ac:dyDescent="0.35"/>
    <row r="14" spans="1:5" ht="15" thickBot="1" x14ac:dyDescent="0.35">
      <c r="A14" s="17" t="s">
        <v>1</v>
      </c>
      <c r="B14" s="18"/>
      <c r="C14" s="18"/>
      <c r="D14" s="18"/>
      <c r="E14" s="19"/>
    </row>
  </sheetData>
  <mergeCells count="1">
    <mergeCell ref="A14:E14"/>
  </mergeCells>
  <hyperlinks>
    <hyperlink ref="A14" r:id="rId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4"/>
  <sheetViews>
    <sheetView workbookViewId="0">
      <selection activeCell="G22" sqref="G22"/>
    </sheetView>
  </sheetViews>
  <sheetFormatPr defaultColWidth="11.5546875" defaultRowHeight="14.4" x14ac:dyDescent="0.3"/>
  <cols>
    <col min="1" max="1" width="4" bestFit="1" customWidth="1"/>
    <col min="2" max="2" width="11.44140625" bestFit="1" customWidth="1"/>
    <col min="3" max="3" width="63.109375" bestFit="1" customWidth="1"/>
  </cols>
  <sheetData>
    <row r="1" spans="1:5" ht="15" thickBot="1" x14ac:dyDescent="0.35">
      <c r="A1" s="10" t="s">
        <v>3</v>
      </c>
      <c r="B1" s="11" t="s">
        <v>59</v>
      </c>
      <c r="C1" s="12" t="s">
        <v>0</v>
      </c>
    </row>
    <row r="2" spans="1:5" x14ac:dyDescent="0.3">
      <c r="A2" s="7">
        <v>10</v>
      </c>
      <c r="B2" s="15" t="str">
        <f>INT(A2*2.204622622)&amp;" lbs "&amp;INT(MOD(A2*2.204622622,1)*16)&amp;" oz"</f>
        <v>22 lbs 0 oz</v>
      </c>
      <c r="C2" s="9" t="s">
        <v>60</v>
      </c>
    </row>
    <row r="3" spans="1:5" x14ac:dyDescent="0.3">
      <c r="A3" s="2">
        <v>50</v>
      </c>
      <c r="B3" s="13" t="str">
        <f>INT(A3*2.204622622)&amp;" lbs "&amp;INT(MOD(A3*2.204622622,1)*16)&amp;" oz"</f>
        <v>110 lbs 3 oz</v>
      </c>
      <c r="C3" s="3" t="s">
        <v>61</v>
      </c>
    </row>
    <row r="4" spans="1:5" x14ac:dyDescent="0.3">
      <c r="A4" s="2">
        <v>100</v>
      </c>
      <c r="B4" s="13" t="str">
        <f>INT(A4*2.204622622)&amp;" lbs "&amp;INT(MOD(A4*2.204622622,1)*16)&amp;" oz"</f>
        <v>220 lbs 7 oz</v>
      </c>
      <c r="C4" s="3" t="s">
        <v>62</v>
      </c>
    </row>
    <row r="5" spans="1:5" x14ac:dyDescent="0.3">
      <c r="A5" s="2">
        <v>150</v>
      </c>
      <c r="B5" s="13" t="str">
        <f>INT(A5*2.204622622)&amp;" lbs "&amp;INT(MOD(A5*2.204622622,1)*16)&amp;" oz"</f>
        <v>330 lbs 11 oz</v>
      </c>
      <c r="C5" s="3" t="s">
        <v>63</v>
      </c>
    </row>
    <row r="6" spans="1:5" x14ac:dyDescent="0.3">
      <c r="A6" s="2">
        <v>200</v>
      </c>
      <c r="B6" s="13" t="str">
        <f>INT(A6*2.204622622)&amp;" lbs "&amp;INT(MOD(A6*2.204622622,1)*16)&amp;" oz"</f>
        <v>440 lbs 14 oz</v>
      </c>
      <c r="C6" s="3" t="s">
        <v>64</v>
      </c>
    </row>
    <row r="7" spans="1:5" x14ac:dyDescent="0.3">
      <c r="A7" s="2">
        <v>250</v>
      </c>
      <c r="B7" s="13" t="str">
        <f>INT(A7*2.204622622)&amp;" lbs "&amp;INT(MOD(A7*2.204622622,1)*16)&amp;" oz"</f>
        <v>551 lbs 2 oz</v>
      </c>
      <c r="C7" s="3" t="s">
        <v>65</v>
      </c>
    </row>
    <row r="8" spans="1:5" x14ac:dyDescent="0.3">
      <c r="A8" s="2">
        <v>300</v>
      </c>
      <c r="B8" s="13" t="str">
        <f>INT(A8*2.204622622)&amp;" lbs "&amp;INT(MOD(A8*2.204622622,1)*16)&amp;" oz"</f>
        <v>661 lbs 6 oz</v>
      </c>
      <c r="C8" s="3" t="s">
        <v>66</v>
      </c>
    </row>
    <row r="9" spans="1:5" x14ac:dyDescent="0.3">
      <c r="A9" s="2">
        <v>350</v>
      </c>
      <c r="B9" s="13" t="str">
        <f>INT(A9*2.204622622)&amp;" lbs "&amp;INT(MOD(A9*2.204622622,1)*16)&amp;" oz"</f>
        <v>771 lbs 9 oz</v>
      </c>
      <c r="C9" s="3" t="s">
        <v>67</v>
      </c>
    </row>
    <row r="10" spans="1:5" x14ac:dyDescent="0.3">
      <c r="A10" s="2">
        <v>400</v>
      </c>
      <c r="B10" s="13" t="str">
        <f>INT(A10*2.204622622)&amp;" lbs "&amp;INT(MOD(A10*2.204622622,1)*16)&amp;" oz"</f>
        <v>881 lbs 13 oz</v>
      </c>
      <c r="C10" s="3" t="s">
        <v>68</v>
      </c>
    </row>
    <row r="11" spans="1:5" x14ac:dyDescent="0.3">
      <c r="A11" s="2">
        <v>450</v>
      </c>
      <c r="B11" s="13" t="str">
        <f>INT(A11*2.204622622)&amp;" lbs "&amp;INT(MOD(A11*2.204622622,1)*16)&amp;" oz"</f>
        <v>992 lbs 1 oz</v>
      </c>
      <c r="C11" s="3" t="s">
        <v>69</v>
      </c>
    </row>
    <row r="12" spans="1:5" ht="15" thickBot="1" x14ac:dyDescent="0.35">
      <c r="A12" s="4">
        <v>500</v>
      </c>
      <c r="B12" s="14" t="str">
        <f>INT(A12*2.204622622)&amp;" lbs "&amp;INT(MOD(A12*2.204622622,1)*16)&amp;" oz"</f>
        <v>1102 lbs 4 oz</v>
      </c>
      <c r="C12" s="6" t="s">
        <v>70</v>
      </c>
    </row>
    <row r="13" spans="1:5" ht="15" thickBot="1" x14ac:dyDescent="0.35"/>
    <row r="14" spans="1:5" ht="15" thickBot="1" x14ac:dyDescent="0.35">
      <c r="A14" s="20" t="s">
        <v>1</v>
      </c>
      <c r="B14" s="21"/>
      <c r="C14" s="22"/>
      <c r="D14" s="16"/>
      <c r="E14" s="16"/>
    </row>
  </sheetData>
  <mergeCells count="1">
    <mergeCell ref="A14:C14"/>
  </mergeCells>
  <hyperlinks>
    <hyperlink ref="A14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4"/>
  <sheetViews>
    <sheetView workbookViewId="0">
      <selection activeCell="F25" sqref="F25"/>
    </sheetView>
  </sheetViews>
  <sheetFormatPr defaultRowHeight="14.4" x14ac:dyDescent="0.3"/>
  <cols>
    <col min="1" max="1" width="4" bestFit="1" customWidth="1"/>
    <col min="2" max="2" width="14.88671875" bestFit="1" customWidth="1"/>
    <col min="3" max="3" width="118.33203125" bestFit="1" customWidth="1"/>
  </cols>
  <sheetData>
    <row r="1" spans="1:5" ht="15" thickBot="1" x14ac:dyDescent="0.35">
      <c r="A1" s="10" t="s">
        <v>3</v>
      </c>
      <c r="B1" s="11" t="s">
        <v>71</v>
      </c>
      <c r="C1" s="12" t="s">
        <v>0</v>
      </c>
    </row>
    <row r="2" spans="1:5" x14ac:dyDescent="0.3">
      <c r="A2" s="7">
        <v>10</v>
      </c>
      <c r="B2" s="15" t="str">
        <f>INT(A2*0.157473044418)&amp;" st "&amp;INT(MOD(A2*0.157473044418,1)*14)&amp;" lbs "&amp;INT(MOD(MOD(A2*0.157473044418,1)*14,1)*16)&amp;" oz"</f>
        <v>1 st 8 lbs 0 oz</v>
      </c>
      <c r="C2" s="9" t="s">
        <v>72</v>
      </c>
    </row>
    <row r="3" spans="1:5" x14ac:dyDescent="0.3">
      <c r="A3" s="2">
        <v>50</v>
      </c>
      <c r="B3" s="13" t="str">
        <f>INT(A3*0.157473044418)&amp;" st "&amp;INT(MOD(A3*0.157473044418,1)*14)&amp;" lbs "&amp;INT(MOD(MOD(A3*0.157473044418,1)*14,1)*16)&amp;" oz"</f>
        <v>7 st 12 lbs 3 oz</v>
      </c>
      <c r="C3" s="3" t="s">
        <v>73</v>
      </c>
    </row>
    <row r="4" spans="1:5" x14ac:dyDescent="0.3">
      <c r="A4" s="2">
        <v>100</v>
      </c>
      <c r="B4" s="13" t="str">
        <f>INT(A4*0.157473044418)&amp;" st "&amp;INT(MOD(A4*0.157473044418,1)*14)&amp;" lbs "&amp;INT(MOD(MOD(A4*0.157473044418,1)*14,1)*16)&amp;" oz"</f>
        <v>15 st 10 lbs 7 oz</v>
      </c>
      <c r="C4" s="3" t="s">
        <v>74</v>
      </c>
    </row>
    <row r="5" spans="1:5" x14ac:dyDescent="0.3">
      <c r="A5" s="2">
        <v>150</v>
      </c>
      <c r="B5" s="13" t="str">
        <f>INT(A5*0.157473044418)&amp;" st "&amp;INT(MOD(A5*0.157473044418,1)*14)&amp;" lbs "&amp;INT(MOD(MOD(A5*0.157473044418,1)*14,1)*16)&amp;" oz"</f>
        <v>23 st 8 lbs 11 oz</v>
      </c>
      <c r="C5" s="3" t="s">
        <v>75</v>
      </c>
    </row>
    <row r="6" spans="1:5" x14ac:dyDescent="0.3">
      <c r="A6" s="2">
        <v>200</v>
      </c>
      <c r="B6" s="13" t="str">
        <f>INT(A6*0.157473044418)&amp;" st "&amp;INT(MOD(A6*0.157473044418,1)*14)&amp;" lbs "&amp;INT(MOD(MOD(A6*0.157473044418,1)*14,1)*16)&amp;" oz"</f>
        <v>31 st 6 lbs 14 oz</v>
      </c>
      <c r="C6" s="3" t="s">
        <v>76</v>
      </c>
    </row>
    <row r="7" spans="1:5" x14ac:dyDescent="0.3">
      <c r="A7" s="2">
        <v>250</v>
      </c>
      <c r="B7" s="13" t="str">
        <f>INT(A7*0.157473044418)&amp;" st "&amp;INT(MOD(A7*0.157473044418,1)*14)&amp;" lbs "&amp;INT(MOD(MOD(A7*0.157473044418,1)*14,1)*16)&amp;" oz"</f>
        <v>39 st 5 lbs 2 oz</v>
      </c>
      <c r="C7" s="3" t="s">
        <v>77</v>
      </c>
    </row>
    <row r="8" spans="1:5" x14ac:dyDescent="0.3">
      <c r="A8" s="2">
        <v>300</v>
      </c>
      <c r="B8" s="13" t="str">
        <f>INT(A8*0.157473044418)&amp;" st "&amp;INT(MOD(A8*0.157473044418,1)*14)&amp;" lbs "&amp;INT(MOD(MOD(A8*0.157473044418,1)*14,1)*16)&amp;" oz"</f>
        <v>47 st 3 lbs 6 oz</v>
      </c>
      <c r="C8" s="3" t="s">
        <v>78</v>
      </c>
    </row>
    <row r="9" spans="1:5" x14ac:dyDescent="0.3">
      <c r="A9" s="2">
        <v>350</v>
      </c>
      <c r="B9" s="13" t="str">
        <f>INT(A9*0.157473044418)&amp;" st "&amp;INT(MOD(A9*0.157473044418,1)*14)&amp;" lbs "&amp;INT(MOD(MOD(A9*0.157473044418,1)*14,1)*16)&amp;" oz"</f>
        <v>55 st 1 lbs 9 oz</v>
      </c>
      <c r="C9" s="3" t="s">
        <v>79</v>
      </c>
    </row>
    <row r="10" spans="1:5" x14ac:dyDescent="0.3">
      <c r="A10" s="2">
        <v>400</v>
      </c>
      <c r="B10" s="13" t="str">
        <f>INT(A10*0.157473044418)&amp;" st "&amp;INT(MOD(A10*0.157473044418,1)*14)&amp;" lbs "&amp;INT(MOD(MOD(A10*0.157473044418,1)*14,1)*16)&amp;" oz"</f>
        <v>62 st 13 lbs 13 oz</v>
      </c>
      <c r="C10" s="3" t="s">
        <v>80</v>
      </c>
    </row>
    <row r="11" spans="1:5" x14ac:dyDescent="0.3">
      <c r="A11" s="2">
        <v>450</v>
      </c>
      <c r="B11" s="13" t="str">
        <f>INT(A11*0.157473044418)&amp;" st "&amp;INT(MOD(A11*0.157473044418,1)*14)&amp;" lbs "&amp;INT(MOD(MOD(A11*0.157473044418,1)*14,1)*16)&amp;" oz"</f>
        <v>70 st 12 lbs 1 oz</v>
      </c>
      <c r="C11" s="3" t="s">
        <v>81</v>
      </c>
    </row>
    <row r="12" spans="1:5" ht="15" thickBot="1" x14ac:dyDescent="0.35">
      <c r="A12" s="4">
        <v>500</v>
      </c>
      <c r="B12" s="14" t="str">
        <f>INT(A12*0.157473044418)&amp;" st "&amp;INT(MOD(A12*0.157473044418,1)*14)&amp;" lbs "&amp;INT(MOD(MOD(A12*0.157473044418,1)*14,1)*16)&amp;" oz"</f>
        <v>78 st 10 lbs 4 oz</v>
      </c>
      <c r="C12" s="6" t="s">
        <v>82</v>
      </c>
    </row>
    <row r="13" spans="1:5" ht="15" thickBot="1" x14ac:dyDescent="0.35"/>
    <row r="14" spans="1:5" ht="15" thickBot="1" x14ac:dyDescent="0.35">
      <c r="A14" s="20" t="s">
        <v>1</v>
      </c>
      <c r="B14" s="21"/>
      <c r="C14" s="22"/>
      <c r="D14" s="16"/>
      <c r="E14" s="16"/>
    </row>
  </sheetData>
  <mergeCells count="1">
    <mergeCell ref="A14:C14"/>
  </mergeCells>
  <hyperlinks>
    <hyperlink ref="A14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H12" sqref="H12"/>
    </sheetView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3" name="Button 4">
              <controlPr defaultSize="0" print="0" autoFill="0" autoPict="0" macro="[0]!ThisWorkbook.KgToLbsConverter">
                <anchor moveWithCells="1" sizeWithCells="1">
                  <from>
                    <xdr:col>0</xdr:col>
                    <xdr:colOff>175260</xdr:colOff>
                    <xdr:row>0</xdr:row>
                    <xdr:rowOff>137160</xdr:rowOff>
                  </from>
                  <to>
                    <xdr:col>4</xdr:col>
                    <xdr:colOff>289560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Button 5">
              <controlPr defaultSize="0" print="0" autoFill="0" autoPict="0" macro="[0]!ThisWorkbook.LbsToKgConverter">
                <anchor moveWithCells="1" sizeWithCells="1">
                  <from>
                    <xdr:col>0</xdr:col>
                    <xdr:colOff>220980</xdr:colOff>
                    <xdr:row>7</xdr:row>
                    <xdr:rowOff>99060</xdr:rowOff>
                  </from>
                  <to>
                    <xdr:col>4</xdr:col>
                    <xdr:colOff>327660</xdr:colOff>
                    <xdr:row>13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LbsToKg</vt:lpstr>
      <vt:lpstr>KgToLbs</vt:lpstr>
      <vt:lpstr>KgToLbsRound</vt:lpstr>
      <vt:lpstr>LbsToKgCONVERT</vt:lpstr>
      <vt:lpstr>KgToLbsCONVERT</vt:lpstr>
      <vt:lpstr>KgToLbsAndOz</vt:lpstr>
      <vt:lpstr>KgToStLbsAndOz</vt:lpstr>
      <vt:lpstr>VBAMacros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www.best-excel-tutorial.com</dc:creator>
  <cp:lastModifiedBy>Lukasz Kedzia</cp:lastModifiedBy>
  <dcterms:created xsi:type="dcterms:W3CDTF">2021-01-11T14:59:31Z</dcterms:created>
  <dcterms:modified xsi:type="dcterms:W3CDTF">2021-01-13T13:05:53Z</dcterms:modified>
</cp:coreProperties>
</file>